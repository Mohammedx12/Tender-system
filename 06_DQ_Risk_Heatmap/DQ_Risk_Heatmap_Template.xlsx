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heck" sheetId="1" state="visible" r:id="rId1"/>
    <sheet xmlns:r="http://schemas.openxmlformats.org/officeDocument/2006/relationships" name="Heatmap" sheetId="2" state="visible" r:id="rId2"/>
    <sheet xmlns:r="http://schemas.openxmlformats.org/officeDocument/2006/relationships" name="Action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404040"/>
      </font>
      <fill>
        <patternFill patternType="solid">
          <fgColor rgb="00E7E6E6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8" customWidth="1" min="3" max="3"/>
    <col width="14" customWidth="1" min="4" max="4"/>
    <col width="14" customWidth="1" min="5" max="5"/>
    <col width="34" customWidth="1" min="6" max="6"/>
  </cols>
  <sheetData>
    <row r="1" ht="26" customHeight="1">
      <c r="A1" s="1" t="inlineStr">
        <is>
          <t>Area</t>
        </is>
      </c>
      <c r="B1" s="1" t="inlineStr">
        <is>
          <t>Check</t>
        </is>
      </c>
      <c r="C1" s="1" t="inlineStr">
        <is>
          <t>Result (PASS/FAIL/NA)</t>
        </is>
      </c>
      <c r="D1" s="1" t="inlineStr">
        <is>
          <t>Severity (1-5)</t>
        </is>
      </c>
      <c r="E1" s="1" t="inlineStr">
        <is>
          <t>Owner</t>
        </is>
      </c>
      <c r="F1" s="1" t="inlineStr">
        <is>
          <t>Evidence/Notes</t>
        </is>
      </c>
    </row>
    <row r="2">
      <c r="A2" s="2" t="inlineStr">
        <is>
          <t>Tampering</t>
        </is>
      </c>
      <c r="B2" s="2" t="inlineStr">
        <is>
          <t>No edits/reservations on specs/BOQ unless explicitly allowed</t>
        </is>
      </c>
      <c r="C2" s="2" t="inlineStr"/>
      <c r="D2" s="2" t="n">
        <v>5</v>
      </c>
      <c r="E2" s="2" t="inlineStr"/>
      <c r="F2" s="2" t="inlineStr"/>
    </row>
    <row r="3">
      <c r="A3" s="2" t="inlineStr">
        <is>
          <t>Bid Bond</t>
        </is>
      </c>
      <c r="B3" s="2" t="inlineStr">
        <is>
          <t>Bid bond provided, correct value/format/validity</t>
        </is>
      </c>
      <c r="C3" s="2" t="inlineStr"/>
      <c r="D3" s="2" t="n">
        <v>5</v>
      </c>
      <c r="E3" s="2" t="inlineStr"/>
      <c r="F3" s="2" t="inlineStr"/>
    </row>
    <row r="4">
      <c r="A4" s="2" t="inlineStr">
        <is>
          <t>Bid Bond</t>
        </is>
      </c>
      <c r="B4" s="2" t="inlineStr">
        <is>
          <t>Bid bond placed in correct file/package per instructions</t>
        </is>
      </c>
      <c r="C4" s="2" t="inlineStr"/>
      <c r="D4" s="2" t="n">
        <v>4</v>
      </c>
      <c r="E4" s="2" t="inlineStr"/>
      <c r="F4" s="2" t="inlineStr"/>
    </row>
    <row r="5">
      <c r="A5" s="2" t="inlineStr">
        <is>
          <t>Mandatory Docs</t>
        </is>
      </c>
      <c r="B5" s="2" t="inlineStr">
        <is>
          <t>All mandatory certificates provided and valid (not expired)</t>
        </is>
      </c>
      <c r="C5" s="2" t="inlineStr"/>
      <c r="D5" s="2" t="n">
        <v>5</v>
      </c>
      <c r="E5" s="2" t="inlineStr"/>
      <c r="F5" s="2" t="inlineStr"/>
    </row>
    <row r="6">
      <c r="A6" s="2" t="inlineStr">
        <is>
          <t>Mandatory Docs</t>
        </is>
      </c>
      <c r="B6" s="2" t="inlineStr">
        <is>
          <t>Cover letter included and signed/stamped</t>
        </is>
      </c>
      <c r="C6" s="2" t="inlineStr"/>
      <c r="D6" s="2" t="n">
        <v>5</v>
      </c>
      <c r="E6" s="2" t="inlineStr"/>
      <c r="F6" s="2" t="inlineStr"/>
    </row>
    <row r="7">
      <c r="A7" s="2" t="inlineStr">
        <is>
          <t>Validity</t>
        </is>
      </c>
      <c r="B7" s="2" t="inlineStr">
        <is>
          <t>Offer validity period matches tender requirement</t>
        </is>
      </c>
      <c r="C7" s="2" t="inlineStr"/>
      <c r="D7" s="2" t="n">
        <v>4</v>
      </c>
      <c r="E7" s="2" t="inlineStr"/>
      <c r="F7" s="2" t="inlineStr"/>
    </row>
    <row r="8">
      <c r="A8" s="2" t="inlineStr">
        <is>
          <t>Samples/Site Visit</t>
        </is>
      </c>
      <c r="B8" s="2" t="inlineStr">
        <is>
          <t>Samples/site visit proof provided if required</t>
        </is>
      </c>
      <c r="C8" s="2" t="inlineStr"/>
      <c r="D8" s="2" t="n">
        <v>4</v>
      </c>
      <c r="E8" s="2" t="inlineStr"/>
      <c r="F8" s="2" t="inlineStr"/>
    </row>
    <row r="9">
      <c r="A9" s="2" t="inlineStr">
        <is>
          <t>Pricing</t>
        </is>
      </c>
      <c r="B9" s="2" t="inlineStr">
        <is>
          <t>Arithmetic checks completed; errors within allowed threshold</t>
        </is>
      </c>
      <c r="C9" s="2" t="inlineStr"/>
      <c r="D9" s="2" t="n">
        <v>5</v>
      </c>
      <c r="E9" s="2" t="inlineStr"/>
      <c r="F9" s="2" t="inlineStr"/>
    </row>
    <row r="10">
      <c r="A10" s="2" t="inlineStr">
        <is>
          <t>Pricing</t>
        </is>
      </c>
      <c r="B10" s="2" t="inlineStr">
        <is>
          <t>No unpriced items; unit rates studied &amp; realistic</t>
        </is>
      </c>
      <c r="C10" s="2" t="inlineStr"/>
      <c r="D10" s="2" t="n">
        <v>4</v>
      </c>
      <c r="E10" s="2" t="inlineStr"/>
      <c r="F10" s="2" t="inlineStr"/>
    </row>
    <row r="11">
      <c r="A11" s="2" t="inlineStr">
        <is>
          <t>Pricing</t>
        </is>
      </c>
      <c r="B11" s="2" t="inlineStr">
        <is>
          <t>Abnormally low bid justification ready if needed</t>
        </is>
      </c>
      <c r="C11" s="2" t="inlineStr"/>
      <c r="D11" s="2" t="n">
        <v>3</v>
      </c>
      <c r="E11" s="2" t="inlineStr"/>
      <c r="F11" s="2" t="inlineStr"/>
    </row>
    <row r="12">
      <c r="A12" s="2" t="inlineStr">
        <is>
          <t>Local Content</t>
        </is>
      </c>
      <c r="B12" s="2" t="inlineStr">
        <is>
          <t>Local content % stated and meets minimum baseline (if required)</t>
        </is>
      </c>
      <c r="C12" s="2" t="inlineStr"/>
      <c r="D12" s="2" t="n">
        <v>4</v>
      </c>
      <c r="E12" s="2" t="inlineStr"/>
      <c r="F12" s="2" t="inlineStr"/>
    </row>
    <row r="13">
      <c r="A13" s="2" t="inlineStr">
        <is>
          <t>Packaging</t>
        </is>
      </c>
      <c r="B13" s="2" t="inlineStr">
        <is>
          <t>File naming, indexing, page numbering, attachments checklist complete</t>
        </is>
      </c>
      <c r="C13" s="2" t="inlineStr"/>
      <c r="D13" s="2" t="n">
        <v>4</v>
      </c>
      <c r="E13" s="2" t="inlineStr"/>
      <c r="F13" s="2" t="inlineStr"/>
    </row>
    <row r="14">
      <c r="A14" s="2" t="inlineStr">
        <is>
          <t>Submission</t>
        </is>
      </c>
      <c r="B14" s="2" t="inlineStr">
        <is>
          <t>Submission log prepared; upload/test run completed</t>
        </is>
      </c>
      <c r="C14" s="2" t="inlineStr"/>
      <c r="D14" s="2" t="n">
        <v>3</v>
      </c>
      <c r="E14" s="2" t="inlineStr"/>
      <c r="F14" s="2" t="inlineStr"/>
    </row>
  </sheetData>
  <conditionalFormatting sqref="C2:C200">
    <cfRule type="containsText" priority="1" operator="containsText" dxfId="0" text="PASS"/>
    <cfRule type="containsText" priority="2" operator="containsText" dxfId="1" text="FAIL"/>
    <cfRule type="containsText" priority="3" operator="containsText" dxfId="2" text="NA"/>
  </conditionalFormatting>
  <dataValidations count="1">
    <dataValidation sqref="C2:C20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8" customWidth="1" min="4" max="4"/>
    <col width="18" customWidth="1" min="5" max="5"/>
    <col width="14" customWidth="1" min="6" max="6"/>
  </cols>
  <sheetData>
    <row r="1" ht="26" customHeight="1">
      <c r="A1" s="1" t="inlineStr">
        <is>
          <t>Area</t>
        </is>
      </c>
      <c r="B1" s="1" t="inlineStr">
        <is>
          <t>Total Checks</t>
        </is>
      </c>
      <c r="C1" s="1" t="inlineStr">
        <is>
          <t>FAIL Count</t>
        </is>
      </c>
      <c r="D1" s="1" t="inlineStr">
        <is>
          <t>FAIL Severity Sum</t>
        </is>
      </c>
      <c r="E1" s="1" t="inlineStr">
        <is>
          <t>Risk Score (0-100)</t>
        </is>
      </c>
      <c r="F1" s="1" t="inlineStr">
        <is>
          <t>Risk Level</t>
        </is>
      </c>
    </row>
    <row r="2">
      <c r="A2" s="2" t="inlineStr">
        <is>
          <t>Bid Bond</t>
        </is>
      </c>
      <c r="B2" s="2">
        <f>COUNTIF(Precheck!A:A,A2)</f>
        <v/>
      </c>
      <c r="C2" s="2">
        <f>COUNTIFS(Precheck!A:A,A2,Precheck!C:C,"FAIL")</f>
        <v/>
      </c>
      <c r="D2" s="2">
        <f>SUMIFS(Precheck!D:D,Precheck!A:A,A2,Precheck!C:C,"FAIL")</f>
        <v/>
      </c>
      <c r="E2" s="2">
        <f>IF(B2=0,0,ROUND((D2/(B2*5))*100,0))</f>
        <v/>
      </c>
      <c r="F2" s="2">
        <f>IF(E2&gt;=40,"RED",IF(E2&gt;=15,"AMBER","GREEN"))</f>
        <v/>
      </c>
    </row>
    <row r="3">
      <c r="A3" s="2" t="inlineStr">
        <is>
          <t>Local Content</t>
        </is>
      </c>
      <c r="B3" s="2">
        <f>COUNTIF(Precheck!A:A,A3)</f>
        <v/>
      </c>
      <c r="C3" s="2">
        <f>COUNTIFS(Precheck!A:A,A3,Precheck!C:C,"FAIL")</f>
        <v/>
      </c>
      <c r="D3" s="2">
        <f>SUMIFS(Precheck!D:D,Precheck!A:A,A3,Precheck!C:C,"FAIL")</f>
        <v/>
      </c>
      <c r="E3" s="2">
        <f>IF(B3=0,0,ROUND((D3/(B3*5))*100,0))</f>
        <v/>
      </c>
      <c r="F3" s="2">
        <f>IF(E3&gt;=40,"RED",IF(E3&gt;=15,"AMBER","GREEN"))</f>
        <v/>
      </c>
    </row>
    <row r="4">
      <c r="A4" s="2" t="inlineStr">
        <is>
          <t>Mandatory Docs</t>
        </is>
      </c>
      <c r="B4" s="2">
        <f>COUNTIF(Precheck!A:A,A4)</f>
        <v/>
      </c>
      <c r="C4" s="2">
        <f>COUNTIFS(Precheck!A:A,A4,Precheck!C:C,"FAIL")</f>
        <v/>
      </c>
      <c r="D4" s="2">
        <f>SUMIFS(Precheck!D:D,Precheck!A:A,A4,Precheck!C:C,"FAIL")</f>
        <v/>
      </c>
      <c r="E4" s="2">
        <f>IF(B4=0,0,ROUND((D4/(B4*5))*100,0))</f>
        <v/>
      </c>
      <c r="F4" s="2">
        <f>IF(E4&gt;=40,"RED",IF(E4&gt;=15,"AMBER","GREEN"))</f>
        <v/>
      </c>
    </row>
    <row r="5">
      <c r="A5" s="2" t="inlineStr">
        <is>
          <t>Packaging</t>
        </is>
      </c>
      <c r="B5" s="2">
        <f>COUNTIF(Precheck!A:A,A5)</f>
        <v/>
      </c>
      <c r="C5" s="2">
        <f>COUNTIFS(Precheck!A:A,A5,Precheck!C:C,"FAIL")</f>
        <v/>
      </c>
      <c r="D5" s="2">
        <f>SUMIFS(Precheck!D:D,Precheck!A:A,A5,Precheck!C:C,"FAIL")</f>
        <v/>
      </c>
      <c r="E5" s="2">
        <f>IF(B5=0,0,ROUND((D5/(B5*5))*100,0))</f>
        <v/>
      </c>
      <c r="F5" s="2">
        <f>IF(E5&gt;=40,"RED",IF(E5&gt;=15,"AMBER","GREEN"))</f>
        <v/>
      </c>
    </row>
    <row r="6">
      <c r="A6" s="2" t="inlineStr">
        <is>
          <t>Pricing</t>
        </is>
      </c>
      <c r="B6" s="2">
        <f>COUNTIF(Precheck!A:A,A6)</f>
        <v/>
      </c>
      <c r="C6" s="2">
        <f>COUNTIFS(Precheck!A:A,A6,Precheck!C:C,"FAIL")</f>
        <v/>
      </c>
      <c r="D6" s="2">
        <f>SUMIFS(Precheck!D:D,Precheck!A:A,A6,Precheck!C:C,"FAIL")</f>
        <v/>
      </c>
      <c r="E6" s="2">
        <f>IF(B6=0,0,ROUND((D6/(B6*5))*100,0))</f>
        <v/>
      </c>
      <c r="F6" s="2">
        <f>IF(E6&gt;=40,"RED",IF(E6&gt;=15,"AMBER","GREEN"))</f>
        <v/>
      </c>
    </row>
    <row r="7">
      <c r="A7" s="2" t="inlineStr">
        <is>
          <t>Samples/Site Visit</t>
        </is>
      </c>
      <c r="B7" s="2">
        <f>COUNTIF(Precheck!A:A,A7)</f>
        <v/>
      </c>
      <c r="C7" s="2">
        <f>COUNTIFS(Precheck!A:A,A7,Precheck!C:C,"FAIL")</f>
        <v/>
      </c>
      <c r="D7" s="2">
        <f>SUMIFS(Precheck!D:D,Precheck!A:A,A7,Precheck!C:C,"FAIL")</f>
        <v/>
      </c>
      <c r="E7" s="2">
        <f>IF(B7=0,0,ROUND((D7/(B7*5))*100,0))</f>
        <v/>
      </c>
      <c r="F7" s="2">
        <f>IF(E7&gt;=40,"RED",IF(E7&gt;=15,"AMBER","GREEN"))</f>
        <v/>
      </c>
    </row>
    <row r="8">
      <c r="A8" s="2" t="inlineStr">
        <is>
          <t>Submission</t>
        </is>
      </c>
      <c r="B8" s="2">
        <f>COUNTIF(Precheck!A:A,A8)</f>
        <v/>
      </c>
      <c r="C8" s="2">
        <f>COUNTIFS(Precheck!A:A,A8,Precheck!C:C,"FAIL")</f>
        <v/>
      </c>
      <c r="D8" s="2">
        <f>SUMIFS(Precheck!D:D,Precheck!A:A,A8,Precheck!C:C,"FAIL")</f>
        <v/>
      </c>
      <c r="E8" s="2">
        <f>IF(B8=0,0,ROUND((D8/(B8*5))*100,0))</f>
        <v/>
      </c>
      <c r="F8" s="2">
        <f>IF(E8&gt;=40,"RED",IF(E8&gt;=15,"AMBER","GREEN"))</f>
        <v/>
      </c>
    </row>
    <row r="9">
      <c r="A9" s="2" t="inlineStr">
        <is>
          <t>Tampering</t>
        </is>
      </c>
      <c r="B9" s="2">
        <f>COUNTIF(Precheck!A:A,A9)</f>
        <v/>
      </c>
      <c r="C9" s="2">
        <f>COUNTIFS(Precheck!A:A,A9,Precheck!C:C,"FAIL")</f>
        <v/>
      </c>
      <c r="D9" s="2">
        <f>SUMIFS(Precheck!D:D,Precheck!A:A,A9,Precheck!C:C,"FAIL")</f>
        <v/>
      </c>
      <c r="E9" s="2">
        <f>IF(B9=0,0,ROUND((D9/(B9*5))*100,0))</f>
        <v/>
      </c>
      <c r="F9" s="2">
        <f>IF(E9&gt;=40,"RED",IF(E9&gt;=15,"AMBER","GREEN"))</f>
        <v/>
      </c>
    </row>
    <row r="10">
      <c r="A10" s="2" t="inlineStr">
        <is>
          <t>Validity</t>
        </is>
      </c>
      <c r="B10" s="2">
        <f>COUNTIF(Precheck!A:A,A10)</f>
        <v/>
      </c>
      <c r="C10" s="2">
        <f>COUNTIFS(Precheck!A:A,A10,Precheck!C:C,"FAIL")</f>
        <v/>
      </c>
      <c r="D10" s="2">
        <f>SUMIFS(Precheck!D:D,Precheck!A:A,A10,Precheck!C:C,"FAIL")</f>
        <v/>
      </c>
      <c r="E10" s="2">
        <f>IF(B10=0,0,ROUND((D10/(B10*5))*100,0))</f>
        <v/>
      </c>
      <c r="F10" s="2">
        <f>IF(E10&gt;=40,"RED",IF(E10&gt;=15,"AMBER","GREEN"))</f>
        <v/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inlineStr">
        <is>
          <t>OVERALL</t>
        </is>
      </c>
      <c r="B12" s="2">
        <f>SUM(B2:B10)</f>
        <v/>
      </c>
      <c r="C12" s="2">
        <f>SUM(C2:C10)</f>
        <v/>
      </c>
      <c r="D12" s="2">
        <f>SUM(D2:D10)</f>
        <v/>
      </c>
      <c r="E12" s="2">
        <f>IF(B12=0,0,ROUND((D12/(B12*5))*100,0))</f>
        <v/>
      </c>
      <c r="F12" s="2">
        <f>IF(E12&gt;=40,"RED",IF(E12&gt;=15,"AMBER","GREEN"))</f>
        <v/>
      </c>
    </row>
  </sheetData>
  <conditionalFormatting sqref="F2:F12">
    <cfRule type="containsText" priority="1" operator="containsText" dxfId="0" text="GREEN"/>
    <cfRule type="containsText" priority="2" operator="containsText" dxfId="3" text="AMBER"/>
    <cfRule type="containsText" priority="3" operator="containsText" dxfId="1" text="RED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56" customWidth="1" min="3" max="3"/>
  </cols>
  <sheetData>
    <row r="1" ht="26" customHeight="1">
      <c r="A1" s="1" t="inlineStr">
        <is>
          <t>Risk Level</t>
        </is>
      </c>
      <c r="B1" s="1" t="inlineStr">
        <is>
          <t>Meaning</t>
        </is>
      </c>
      <c r="C1" s="1" t="inlineStr">
        <is>
          <t>Immediate action</t>
        </is>
      </c>
    </row>
    <row r="2">
      <c r="A2" s="2" t="inlineStr">
        <is>
          <t>GREEN</t>
        </is>
      </c>
      <c r="B2" s="2" t="inlineStr">
        <is>
          <t>No major DQ risks detected in this area.</t>
        </is>
      </c>
      <c r="C2" s="2" t="inlineStr">
        <is>
          <t>Proceed; keep evidence links updated.</t>
        </is>
      </c>
    </row>
    <row r="3">
      <c r="A3" s="2" t="inlineStr">
        <is>
          <t>AMBER</t>
        </is>
      </c>
      <c r="B3" s="2" t="inlineStr">
        <is>
          <t>Some risks exist; could cause rejection or scoring loss.</t>
        </is>
      </c>
      <c r="C3" s="2" t="inlineStr">
        <is>
          <t>Fix within 48–72 hours; assign owner; attach evidence.</t>
        </is>
      </c>
    </row>
    <row r="4">
      <c r="A4" s="2" t="inlineStr">
        <is>
          <t>RED</t>
        </is>
      </c>
      <c r="B4" s="2" t="inlineStr">
        <is>
          <t>High probability of disqualification if submitted without fixes.</t>
        </is>
      </c>
      <c r="C4" s="2" t="inlineStr">
        <is>
          <t>STOP submission. Resolve FAIL items; re-run precheck; get sign-off.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2026-03-06T11:00:31Z</dcterms:created>
  <dcterms:modified xmlns:dcterms="http://purl.org/dc/terms/" xmlns:xsi="http://www.w3.org/2001/XMLSchema-instance" xsi:type="dcterms:W3CDTF">2026-03-06T11:00:31Z</dcterms:modified>
</cp:coreProperties>
</file>